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ganti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4" activeCellId="0" sqref="C24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22.13"/>
    <col collapsed="false" customWidth="true" hidden="false" outlineLevel="0" max="2" min="2" style="1" width="33.25"/>
    <col collapsed="false" customWidth="true" hidden="false" outlineLevel="0" max="3" min="3" style="1" width="30.63"/>
    <col collapsed="false" customWidth="true" hidden="false" outlineLevel="0" max="4" min="4" style="1" width="54.12"/>
    <col collapsed="false" customWidth="true" hidden="false" outlineLevel="0" max="5" min="5" style="1" width="29.13"/>
    <col collapsed="false" customWidth="true" hidden="false" outlineLevel="0" max="7" min="7" style="1" width="18.88"/>
  </cols>
  <sheetData>
    <row r="1" customFormat="false" ht="15.75" hidden="false" customHeight="false" outlineLevel="0" collapsed="false">
      <c r="A1" s="2" t="str">
        <f aca="false">IFERROR(__xludf.dummyfunction("QUERY(Richieste!A1:U1000, ""SELECT  C, G,H,I,J,K,L WHERE S = 'ACCETTATO' AND U = 'SI' "")"),"Cognome e Nome del Bambino")</f>
        <v>Cognome e Nome del Bambino</v>
      </c>
      <c r="B1" s="2" t="str">
        <f aca="false">IFERROR(__xludf.dummyfunction("""COMPUTED_VALUE"""),"Codice Fiscale del Bambino")</f>
        <v>Codice Fiscale del Bambino</v>
      </c>
      <c r="C1" s="2" t="str">
        <f aca="false">IFERROR(__xludf.dummyfunction("""COMPUTED_VALUE"""),"Nominativo Genitore a cui Intestare la Ricevuta")</f>
        <v>Nominativo Genitore a cui Intestare la Ricevuta</v>
      </c>
      <c r="D1" s="2" t="str">
        <f aca="false">IFERROR(__xludf.dummyfunction("""COMPUTED_VALUE"""),"Codice Fiscale del Genitore a cui Intestare la Ricevuta")</f>
        <v>Codice Fiscale del Genitore a cui Intestare la Ricevuta</v>
      </c>
      <c r="E1" s="2" t="str">
        <f aca="false">IFERROR(__xludf.dummyfunction("""COMPUTED_VALUE"""),"Via di Residenza")</f>
        <v>Via di Residenza</v>
      </c>
      <c r="F1" s="2" t="str">
        <f aca="false">IFERROR(__xludf.dummyfunction("""COMPUTED_VALUE"""),"CITTA")</f>
        <v>CITTA</v>
      </c>
      <c r="G1" s="2" t="str">
        <f aca="false">IFERROR(__xludf.dummyfunction("""COMPUTED_VALUE"""),"CAP")</f>
        <v>CAP</v>
      </c>
    </row>
    <row r="2" customFormat="false" ht="15.75" hidden="false" customHeight="false" outlineLevel="0" collapsed="false">
      <c r="A2" s="2" t="str">
        <f aca="false">IFERROR(__xludf.dummyfunction("""COMPUTED_VALUE"""),"Paolucci Valentino ")</f>
        <v>Paolucci Valentino </v>
      </c>
      <c r="B2" s="2" t="str">
        <f aca="false">IFERROR(__xludf.dummyfunction("""COMPUTED_VALUE"""),"PLCVNT18C23G478M")</f>
        <v>PLCVNT18C23G478M</v>
      </c>
      <c r="C2" s="2" t="str">
        <f aca="false">IFERROR(__xludf.dummyfunction("""COMPUTED_VALUE"""),"Dorilli Giulia")</f>
        <v>Dorilli Giulia</v>
      </c>
      <c r="D2" s="2" t="str">
        <f aca="false">IFERROR(__xludf.dummyfunction("""COMPUTED_VALUE"""),"DRLGLI88P68G478M")</f>
        <v>DRLGLI88P68G478M</v>
      </c>
      <c r="E2" s="2" t="str">
        <f aca="false">IFERROR(__xludf.dummyfunction("""COMPUTED_VALUE"""),"Via Fonte dei Lavatoi, n. 23")</f>
        <v>Via Fonte dei Lavatoi, n. 23</v>
      </c>
      <c r="F2" s="2" t="str">
        <f aca="false">IFERROR(__xludf.dummyfunction("""COMPUTED_VALUE"""),"Pila (PG)")</f>
        <v>Pila (PG)</v>
      </c>
      <c r="G2" s="2" t="str">
        <f aca="false">IFERROR(__xludf.dummyfunction("""COMPUTED_VALUE"""),"06132")</f>
        <v>06132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it-IT</dc:language>
  <cp:lastModifiedBy/>
  <dcterms:modified xsi:type="dcterms:W3CDTF">2026-07-17T17:04:12Z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