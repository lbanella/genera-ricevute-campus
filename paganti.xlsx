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tente\Documents\genera-ricevute-campus\"/>
    </mc:Choice>
  </mc:AlternateContent>
  <xr:revisionPtr revIDLastSave="0" documentId="13_ncr:1_{2CFF97ED-4A19-4675-9AA6-133739C18A4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agant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" i="1" l="1"/>
  <c r="F2" i="1"/>
  <c r="E2" i="1"/>
  <c r="D2" i="1"/>
  <c r="C2" i="1"/>
  <c r="B2" i="1"/>
  <c r="A2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A3" sqref="A3:XFD3"/>
    </sheetView>
  </sheetViews>
  <sheetFormatPr defaultColWidth="12.5703125" defaultRowHeight="12.75" x14ac:dyDescent="0.2"/>
  <cols>
    <col min="1" max="1" width="22.140625" customWidth="1"/>
    <col min="2" max="2" width="33.28515625" customWidth="1"/>
    <col min="3" max="3" width="30.5703125" customWidth="1"/>
    <col min="4" max="4" width="54.140625" customWidth="1"/>
    <col min="5" max="5" width="29.140625" customWidth="1"/>
    <col min="7" max="7" width="18.85546875" customWidth="1"/>
  </cols>
  <sheetData>
    <row r="1" spans="1:7" ht="14.25" x14ac:dyDescent="0.2">
      <c r="A1" s="1" t="str">
        <f ca="1">IFERROR(__xludf.dummyfunction("QUERY(Richieste!A1:U1000, ""SELECT  C, G,H,I,J,K,L WHERE S = 'ACCETTATO' AND U = 'SI' "")"),"Cognome e Nome del Bambino")</f>
        <v>Cognome e Nome del Bambino</v>
      </c>
      <c r="B1" s="1" t="str">
        <f ca="1">IFERROR(__xludf.dummyfunction("""COMPUTED_VALUE"""),"Codice Fiscale del Bambino")</f>
        <v>Codice Fiscale del Bambino</v>
      </c>
      <c r="C1" s="1" t="str">
        <f ca="1">IFERROR(__xludf.dummyfunction("""COMPUTED_VALUE"""),"Nominativo Genitore a cui Intestare la Ricevuta")</f>
        <v>Nominativo Genitore a cui Intestare la Ricevuta</v>
      </c>
      <c r="D1" s="1" t="str">
        <f ca="1">IFERROR(__xludf.dummyfunction("""COMPUTED_VALUE"""),"Codice Fiscale del Genitore a cui Intestare la Ricevuta")</f>
        <v>Codice Fiscale del Genitore a cui Intestare la Ricevuta</v>
      </c>
      <c r="E1" s="1" t="str">
        <f ca="1">IFERROR(__xludf.dummyfunction("""COMPUTED_VALUE"""),"Via di Residenza")</f>
        <v>Via di Residenza</v>
      </c>
      <c r="F1" s="1" t="str">
        <f ca="1">IFERROR(__xludf.dummyfunction("""COMPUTED_VALUE"""),"CITTA")</f>
        <v>CITTA</v>
      </c>
      <c r="G1" s="1" t="str">
        <f ca="1">IFERROR(__xludf.dummyfunction("""COMPUTED_VALUE"""),"CAP")</f>
        <v>CAP</v>
      </c>
    </row>
    <row r="2" spans="1:7" ht="14.25" x14ac:dyDescent="0.2">
      <c r="A2" s="1" t="str">
        <f ca="1">IFERROR(__xludf.dummyfunction("""COMPUTED_VALUE"""),"Paolucci Valentino ")</f>
        <v xml:space="preserve">Paolucci Valentino </v>
      </c>
      <c r="B2" s="1" t="str">
        <f ca="1">IFERROR(__xludf.dummyfunction("""COMPUTED_VALUE"""),"PLCVNT18C23G478M")</f>
        <v>PLCVNT18C23G478M</v>
      </c>
      <c r="C2" s="1" t="str">
        <f ca="1">IFERROR(__xludf.dummyfunction("""COMPUTED_VALUE"""),"Dorilli Giulia")</f>
        <v>Dorilli Giulia</v>
      </c>
      <c r="D2" s="1" t="str">
        <f ca="1">IFERROR(__xludf.dummyfunction("""COMPUTED_VALUE"""),"DRLGLI88P68G478M")</f>
        <v>DRLGLI88P68G478M</v>
      </c>
      <c r="E2" s="1" t="str">
        <f ca="1">IFERROR(__xludf.dummyfunction("""COMPUTED_VALUE"""),"Via Fonte dei Lavatoi, n. 23")</f>
        <v>Via Fonte dei Lavatoi, n. 23</v>
      </c>
      <c r="F2" s="1" t="str">
        <f ca="1">IFERROR(__xludf.dummyfunction("""COMPUTED_VALUE"""),"Pila (PG)")</f>
        <v>Pila (PG)</v>
      </c>
      <c r="G2" s="1" t="str">
        <f ca="1">IFERROR(__xludf.dummyfunction("""COMPUTED_VALUE"""),"06132")</f>
        <v>06132</v>
      </c>
    </row>
    <row r="3" spans="1:7" ht="14.25" x14ac:dyDescent="0.2">
      <c r="A3" s="1"/>
      <c r="B3" s="1"/>
      <c r="C3" s="1"/>
      <c r="D3" s="1"/>
      <c r="E3" s="1"/>
      <c r="F3" s="1"/>
      <c r="G3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Paganti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Lorenzo Banella</cp:lastModifiedBy>
  <cp:revision>2</cp:revision>
  <dcterms:modified xsi:type="dcterms:W3CDTF">2026-07-17T19:13:12Z</dcterms:modified>
  <dc:language>it-IT</dc:language>
</cp:coreProperties>
</file>